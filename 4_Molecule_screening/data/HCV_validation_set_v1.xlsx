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<sst xmlns="http://schemas.openxmlformats.org/spreadsheetml/2006/main" count="408" uniqueCount="134">
  <si>
    <t xml:space="preserve">SMILES</t>
  </si>
  <si>
    <t xml:space="preserve">Mol_ID</t>
  </si>
  <si>
    <t xml:space="preserve">Target_region</t>
  </si>
  <si>
    <t xml:space="preserve">PDB</t>
  </si>
  <si>
    <t xml:space="preserve">Binding_affinity</t>
  </si>
  <si>
    <t xml:space="preserve">Affinity_type</t>
  </si>
  <si>
    <t xml:space="preserve">Affinity_unit</t>
  </si>
  <si>
    <t xml:space="preserve">Experiment</t>
  </si>
  <si>
    <t xml:space="preserve">Reference</t>
  </si>
  <si>
    <t xml:space="preserve">Present_in_RSIM</t>
  </si>
  <si>
    <t xml:space="preserve">Predicted_pKd</t>
  </si>
  <si>
    <t xml:space="preserve">rDock_score</t>
  </si>
  <si>
    <t xml:space="preserve">c1c2OC[C@@H](Cc2c2c(c1)N=C1[C@H]2C[C@@H](CN1)CN(C)C)CN(C)C</t>
  </si>
  <si>
    <t xml:space="preserve">Benzimidazole13ibis</t>
  </si>
  <si>
    <t xml:space="preserve">HCV IRES Domain II</t>
  </si>
  <si>
    <t xml:space="preserve">-</t>
  </si>
  <si>
    <t xml:space="preserve">Kd</t>
  </si>
  <si>
    <t xml:space="preserve">M</t>
  </si>
  <si>
    <t xml:space="preserve">Mass spectrometry screening</t>
  </si>
  <si>
    <t xml:space="preserve">10.1021/jm050815o</t>
  </si>
  <si>
    <t xml:space="preserve">Yes</t>
  </si>
  <si>
    <t xml:space="preserve">CN(C)CCCN1C2=C(C=CC(=C2)OCCCN(C)C)N=C1N</t>
  </si>
  <si>
    <t xml:space="preserve">Benzimidazole3ibis</t>
  </si>
  <si>
    <t xml:space="preserve">3TZR</t>
  </si>
  <si>
    <t xml:space="preserve">CC1(COC(C(C1NC)O)OC2C(CC(C(C2O)OC3C(CC=C(O3)CN)N)N)N)O</t>
  </si>
  <si>
    <t xml:space="preserve">sisomicin</t>
  </si>
  <si>
    <t xml:space="preserve">HCV IRES Domain IIId</t>
  </si>
  <si>
    <t xml:space="preserve">Surface Plasmon Resonance</t>
  </si>
  <si>
    <t xml:space="preserve">10.1002/anie.200460558</t>
  </si>
  <si>
    <t xml:space="preserve">c12ccc3c(c1C[C@H](CO2)CN(C)C)n1c(n3)NC[C@H](C1)CN(C)C</t>
  </si>
  <si>
    <t xml:space="preserve">dimethylamine_derivative</t>
  </si>
  <si>
    <t xml:space="preserve">IRES HCV</t>
  </si>
  <si>
    <t xml:space="preserve">IC50</t>
  </si>
  <si>
    <t xml:space="preserve">FRET assay</t>
  </si>
  <si>
    <t xml:space="preserve">10.1002/cbic.201000177</t>
  </si>
  <si>
    <t xml:space="preserve">c1cc(ccc1C(=O)C)C(=O)N[C@H](C(=O)N1C[C@H](C[C@H](C1)N)N)CCCNC(=N)N</t>
  </si>
  <si>
    <t xml:space="preserve">benzamide derivative</t>
  </si>
  <si>
    <t xml:space="preserve">benzamide derivative_2</t>
  </si>
  <si>
    <t xml:space="preserve">C[NH+](C)CCCN1C(N)=[NH+]C2=CC=C3OC(C[NH+](C)C)=CC3=C12</t>
  </si>
  <si>
    <t xml:space="preserve">IRAB</t>
  </si>
  <si>
    <t xml:space="preserve">HCV IRES RNA</t>
  </si>
  <si>
    <t xml:space="preserve">Dual luciferase</t>
  </si>
  <si>
    <t xml:space="preserve">10.1080/15476286.2015.1025190</t>
  </si>
  <si>
    <t xml:space="preserve">Benzimidazole 3</t>
  </si>
  <si>
    <t xml:space="preserve">HCV IRES IIa 40-mer</t>
  </si>
  <si>
    <t xml:space="preserve">ESI-MS</t>
  </si>
  <si>
    <t xml:space="preserve">C[NH+](C)CCCOC1=CC=C2N=C3NCC(C[NH+](C)C)CN3C2=C1</t>
  </si>
  <si>
    <t xml:space="preserve">Benzimidazole 10</t>
  </si>
  <si>
    <t xml:space="preserve">C[NH+](C)CCCN1C(N)=[NH+]C2=CC=C3OC(CC[NH+](C)C)CC3=C12</t>
  </si>
  <si>
    <t xml:space="preserve">Benzimidazole 11 / Isis-11</t>
  </si>
  <si>
    <t xml:space="preserve">HCV IRES IIa 38-mer</t>
  </si>
  <si>
    <t xml:space="preserve">Fluorescence-based titration (Labeled RNA)</t>
  </si>
  <si>
    <t xml:space="preserve">10.1073/pnas.0911896107</t>
  </si>
  <si>
    <t xml:space="preserve">C[NH+](C)CCCN1C(N)=[NH+]C2=CC=C3OCC(C[NH+](C)C)CC3=C12</t>
  </si>
  <si>
    <t xml:space="preserve">Benzimidazole 12</t>
  </si>
  <si>
    <t xml:space="preserve">Benzimidazole 13 / Isis-13</t>
  </si>
  <si>
    <t xml:space="preserve">HCV IRES IIa RNA</t>
  </si>
  <si>
    <t xml:space="preserve">6e-07±8e-08</t>
  </si>
  <si>
    <t xml:space="preserve">EC50</t>
  </si>
  <si>
    <t xml:space="preserve">FRET</t>
  </si>
  <si>
    <t xml:space="preserve">10.1038/nchembio.217</t>
  </si>
  <si>
    <t xml:space="preserve">C[NH+](C)CC1CC2=C3N4CC(C[NH+](C)C)CNC4=[NH+]C3=CC=C2O1</t>
  </si>
  <si>
    <t xml:space="preserve">Isis-22</t>
  </si>
  <si>
    <t xml:space="preserve">10.1016/j.antiviral.2010.11.004</t>
  </si>
  <si>
    <t xml:space="preserve">CCN(CC)CCOC1=CC=C(C=C1)NC2=NC(=NC3=CC=CC=C32)C4=CC=CC=C4NC(=O)CCN5CCN(CC5)C</t>
  </si>
  <si>
    <t xml:space="preserve">Compound 1 (2017)</t>
  </si>
  <si>
    <t xml:space="preserve">HCV IRES-A</t>
  </si>
  <si>
    <t xml:space="preserve">10.1021/acs.jmedchem.6b01444</t>
  </si>
  <si>
    <t xml:space="preserve">HCV IRES-A 1 Mutant</t>
  </si>
  <si>
    <t xml:space="preserve">1.29e-06±5.9e-08</t>
  </si>
  <si>
    <t xml:space="preserve">Microscale Thermophoresis</t>
  </si>
  <si>
    <t xml:space="preserve">2.05e-05±9.95e-07</t>
  </si>
  <si>
    <t xml:space="preserve">HCV IRES-A DNA</t>
  </si>
  <si>
    <t xml:space="preserve">1.45e-05±6.95e-07</t>
  </si>
  <si>
    <t xml:space="preserve">CC(=O)C1=CC=C(C=C1)C(=O)N[C@@H](CCCC[NH3+])C(=O)N1C[C@@H]([NH3+])C[C@@H]([NH3+])C1</t>
  </si>
  <si>
    <t xml:space="preserve">Compound 2ab</t>
  </si>
  <si>
    <t xml:space="preserve">HCV IRES IIA</t>
  </si>
  <si>
    <t xml:space="preserve">6.3e-06±6e-07</t>
  </si>
  <si>
    <t xml:space="preserve">0.00027±0.0001</t>
  </si>
  <si>
    <t xml:space="preserve">C(CN1C=C(CNC2=C3C=CC=CC3=[NH+]C3=C2OC2=C3C=CC=C2)N=N1)C[NH+]1CCCCC1</t>
  </si>
  <si>
    <t xml:space="preserve">Quindoline CK1-14</t>
  </si>
  <si>
    <t xml:space="preserve">IRES RNA G-quadruplex</t>
  </si>
  <si>
    <t xml:space="preserve">1.38e-06±6e-08</t>
  </si>
  <si>
    <t xml:space="preserve">10.1016/j.bbagen.2017.09.015</t>
  </si>
  <si>
    <t xml:space="preserve">CN1CCN(CC1)CCCNc1nc2cc(ccc2nc1NCCCc1ccc(cc1)NC(=O)/C=C/c1ccc(cc1)N(C)C)[N+](=O)O</t>
  </si>
  <si>
    <t xml:space="preserve">Compound 4d</t>
  </si>
  <si>
    <t xml:space="preserve">HCV IRES domain Iia</t>
  </si>
  <si>
    <t xml:space="preserve">6.7e-05±3.5e-06</t>
  </si>
  <si>
    <t xml:space="preserve">Circular Dichroism</t>
  </si>
  <si>
    <t xml:space="preserve">10.1039/c9cc06531h</t>
  </si>
  <si>
    <t xml:space="preserve">NCCCCC(C(=O)OCO[C@H]1C[C@@H](O[C@@H]1COCOC(=O)C(CCCCN)N)C(=O)Nc1cccc(c1)c1csc(n1)NC(=O)C)N</t>
  </si>
  <si>
    <t xml:space="preserve">Compound 3b</t>
  </si>
  <si>
    <t xml:space="preserve">0.00025±5e-06</t>
  </si>
  <si>
    <t xml:space="preserve">CN(CCCNc1nc2cc(ccc2nc1NCCCc1ccc(cc1)NC(=O)CCCCC1SCC2C1NC(=O)N2)[N+](=O)O)C</t>
  </si>
  <si>
    <t xml:space="preserve">Compound 4a</t>
  </si>
  <si>
    <t xml:space="preserve">8.7e-05±4e-06</t>
  </si>
  <si>
    <t xml:space="preserve">CN1CCN(CC1)CCCNc1nc2cc(ccc2nc1NCCCc1ccc(cc1)NC(=O)CCCCC1SCC2C1NC(=O)N2)[N+](=O)O</t>
  </si>
  <si>
    <t xml:space="preserve">Compound 4c</t>
  </si>
  <si>
    <t xml:space="preserve">7.4e-05±3.5e-06</t>
  </si>
  <si>
    <t xml:space="preserve">Compound 2</t>
  </si>
  <si>
    <t xml:space="preserve">3.4±0.3</t>
  </si>
  <si>
    <t xml:space="preserve">uM</t>
  </si>
  <si>
    <t xml:space="preserve">10.1073/pnas.1118699109</t>
  </si>
  <si>
    <t xml:space="preserve">No</t>
  </si>
  <si>
    <t xml:space="preserve">Phenazine 1</t>
  </si>
  <si>
    <t xml:space="preserve">10.1021/jm401312n</t>
  </si>
  <si>
    <t xml:space="preserve">Biarylguanidine 2</t>
  </si>
  <si>
    <t xml:space="preserve">Diaminopiperidine 6</t>
  </si>
  <si>
    <t xml:space="preserve">Benzoxazole derivative 23</t>
  </si>
  <si>
    <t xml:space="preserve">Compound 7</t>
  </si>
  <si>
    <t xml:space="preserve">SLI 3’-UTR</t>
  </si>
  <si>
    <t xml:space="preserve">460±70</t>
  </si>
  <si>
    <t xml:space="preserve">nM</t>
  </si>
  <si>
    <t xml:space="preserve">Fluorescence-based assay</t>
  </si>
  <si>
    <t xml:space="preserve">10.1016/j.chempr.2018.08.003</t>
  </si>
  <si>
    <t xml:space="preserve">Compound 8</t>
  </si>
  <si>
    <t xml:space="preserve">849±150</t>
  </si>
  <si>
    <t xml:space="preserve">Compound 9</t>
  </si>
  <si>
    <t xml:space="preserve">1300±500</t>
  </si>
  <si>
    <t xml:space="preserve">Compound 10</t>
  </si>
  <si>
    <t xml:space="preserve">460±140</t>
  </si>
  <si>
    <t xml:space="preserve">SLII 3’-UTR</t>
  </si>
  <si>
    <t xml:space="preserve">820±82</t>
  </si>
  <si>
    <t xml:space="preserve">1400±211</t>
  </si>
  <si>
    <t xml:space="preserve">7100±4200</t>
  </si>
  <si>
    <t xml:space="preserve">VS compound 8</t>
  </si>
  <si>
    <t xml:space="preserve">413 ± 97</t>
  </si>
  <si>
    <t xml:space="preserve">10.1039/d3md00696d</t>
  </si>
  <si>
    <t xml:space="preserve">VS compound 8a</t>
  </si>
  <si>
    <t xml:space="preserve">88 ± 12</t>
  </si>
  <si>
    <t xml:space="preserve">VS compound 8b</t>
  </si>
  <si>
    <t xml:space="preserve">61 ± 19</t>
  </si>
  <si>
    <t xml:space="preserve">VS compound 8c</t>
  </si>
  <si>
    <t xml:space="preserve">120 ± 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</si>
</sst>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55" topLeftCell="A1" activePane="bottomLeft" state="split"/>
      <selection pane="topLeft" activeCell="A1" activeCellId="0" sqref="A1"/>
      <selection pane="bottomLeft" activeCell="A2" activeCellId="0" sqref="A2"/>
    </sheetView>
  </sheetViews>
  <sheetFormatPr defaultColWidth="11.58984375" defaultRowHeight="12.8" zeroHeight="false" outlineLevelRow="0" outlineLevelCol="0"/>
  <cols>
    <col collapsed="false" customWidth="true" hidden="false" outlineLevel="0" max="2" min="2" style="1" width="22.96"/>
    <col collapsed="false" customWidth="true" hidden="false" outlineLevel="0" max="3" min="3" style="1" width="21.97"/>
    <col collapsed="false" customWidth="true" hidden="false" outlineLevel="0" max="5" min="5" style="1" width="15.18"/>
    <col collapsed="false" customWidth="true" hidden="false" outlineLevel="0" max="6" min="6" style="1" width="12.27"/>
    <col collapsed="false" customWidth="true" hidden="false" outlineLevel="0" max="7" min="7" style="1" width="11.99"/>
    <col collapsed="false" customWidth="true" hidden="false" outlineLevel="0" max="8" min="8" style="1" width="11.43"/>
    <col collapsed="false" customWidth="true" hidden="false" outlineLevel="0" max="9" min="9" style="1" width="28.11"/>
    <col collapsed="false" customWidth="true" hidden="false" outlineLevel="0" max="10" min="10" style="1" width="16.3"/>
    <col collapsed="false" customWidth="true" hidden="false" outlineLevel="0" max="11" min="11" style="1" width="14.23"/>
    <col collapsed="false" customWidth="true" hidden="false" outlineLevel="0" max="12" min="12" style="1" width="12.2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n">
        <v>1.7E-007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</row>
    <row r="3" customFormat="false" ht="12.8" hidden="false" customHeight="false" outlineLevel="0" collapsed="false">
      <c r="A3" s="1" t="s">
        <v>21</v>
      </c>
      <c r="B3" s="1" t="s">
        <v>22</v>
      </c>
      <c r="C3" s="1" t="s">
        <v>14</v>
      </c>
      <c r="D3" s="1" t="s">
        <v>23</v>
      </c>
      <c r="E3" s="1" t="n">
        <v>1E-005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</row>
    <row r="4" customFormat="false" ht="12.8" hidden="false" customHeight="false" outlineLevel="0" collapsed="false">
      <c r="A4" s="1" t="s">
        <v>24</v>
      </c>
      <c r="B4" s="1" t="s">
        <v>25</v>
      </c>
      <c r="C4" s="1" t="s">
        <v>26</v>
      </c>
      <c r="D4" s="1" t="s">
        <v>15</v>
      </c>
      <c r="E4" s="1" t="n">
        <v>2.6E-007</v>
      </c>
      <c r="F4" s="1" t="s">
        <v>16</v>
      </c>
      <c r="G4" s="1" t="s">
        <v>17</v>
      </c>
      <c r="H4" s="1" t="s">
        <v>27</v>
      </c>
      <c r="I4" s="1" t="s">
        <v>28</v>
      </c>
      <c r="J4" s="1" t="s">
        <v>20</v>
      </c>
    </row>
    <row r="5" customFormat="false" ht="12.8" hidden="false" customHeight="false" outlineLevel="0" collapsed="false">
      <c r="A5" s="1" t="s">
        <v>29</v>
      </c>
      <c r="B5" s="1" t="s">
        <v>30</v>
      </c>
      <c r="C5" s="1" t="s">
        <v>31</v>
      </c>
      <c r="D5" s="1" t="s">
        <v>15</v>
      </c>
      <c r="E5" s="1" t="n">
        <v>6E-007</v>
      </c>
      <c r="F5" s="1" t="s">
        <v>32</v>
      </c>
      <c r="G5" s="1" t="s">
        <v>17</v>
      </c>
      <c r="H5" s="1" t="s">
        <v>33</v>
      </c>
      <c r="I5" s="1" t="s">
        <v>34</v>
      </c>
      <c r="J5" s="1" t="s">
        <v>20</v>
      </c>
    </row>
    <row r="6" customFormat="false" ht="12.8" hidden="false" customHeight="false" outlineLevel="0" collapsed="false">
      <c r="A6" s="1" t="s">
        <v>35</v>
      </c>
      <c r="B6" s="1" t="s">
        <v>36</v>
      </c>
      <c r="C6" s="1" t="s">
        <v>31</v>
      </c>
      <c r="D6" s="1" t="s">
        <v>15</v>
      </c>
      <c r="E6" s="1" t="n">
        <v>0.00027</v>
      </c>
      <c r="F6" s="1" t="s">
        <v>32</v>
      </c>
      <c r="G6" s="1" t="s">
        <v>17</v>
      </c>
      <c r="H6" s="1" t="s">
        <v>33</v>
      </c>
      <c r="I6" s="1" t="s">
        <v>34</v>
      </c>
      <c r="J6" s="1" t="s">
        <v>20</v>
      </c>
    </row>
    <row r="7" customFormat="false" ht="12.8" hidden="false" customHeight="false" outlineLevel="0" collapsed="false">
      <c r="A7" s="1" t="s">
        <v>35</v>
      </c>
      <c r="B7" s="1" t="s">
        <v>37</v>
      </c>
      <c r="C7" s="1" t="s">
        <v>31</v>
      </c>
      <c r="D7" s="1" t="s">
        <v>15</v>
      </c>
      <c r="E7" s="1" t="n">
        <v>9.2E-005</v>
      </c>
      <c r="F7" s="1" t="s">
        <v>32</v>
      </c>
      <c r="G7" s="1" t="s">
        <v>17</v>
      </c>
      <c r="H7" s="1" t="s">
        <v>33</v>
      </c>
      <c r="I7" s="1" t="s">
        <v>34</v>
      </c>
      <c r="J7" s="1" t="s">
        <v>20</v>
      </c>
    </row>
    <row r="8" customFormat="false" ht="12.8" hidden="false" customHeight="false" outlineLevel="0" collapsed="false">
      <c r="A8" s="1" t="s">
        <v>38</v>
      </c>
      <c r="B8" s="1" t="s">
        <v>39</v>
      </c>
      <c r="C8" s="1" t="s">
        <v>40</v>
      </c>
      <c r="D8" s="1" t="s">
        <v>15</v>
      </c>
      <c r="E8" s="1" t="n">
        <v>5E-007</v>
      </c>
      <c r="F8" s="1" t="s">
        <v>32</v>
      </c>
      <c r="G8" s="1" t="s">
        <v>17</v>
      </c>
      <c r="H8" s="1" t="s">
        <v>41</v>
      </c>
      <c r="I8" s="1" t="s">
        <v>42</v>
      </c>
      <c r="J8" s="1" t="s">
        <v>20</v>
      </c>
    </row>
    <row r="9" customFormat="false" ht="12.8" hidden="false" customHeight="false" outlineLevel="0" collapsed="false">
      <c r="A9" s="1" t="s">
        <v>21</v>
      </c>
      <c r="B9" s="1" t="s">
        <v>43</v>
      </c>
      <c r="C9" s="1" t="s">
        <v>44</v>
      </c>
      <c r="D9" s="1" t="s">
        <v>23</v>
      </c>
      <c r="E9" s="1" t="n">
        <v>1.7E-005</v>
      </c>
      <c r="F9" s="1" t="s">
        <v>16</v>
      </c>
      <c r="G9" s="1" t="s">
        <v>17</v>
      </c>
      <c r="H9" s="1" t="s">
        <v>45</v>
      </c>
      <c r="I9" s="1" t="s">
        <v>19</v>
      </c>
      <c r="J9" s="1" t="s">
        <v>20</v>
      </c>
    </row>
    <row r="10" customFormat="false" ht="12.8" hidden="false" customHeight="false" outlineLevel="0" collapsed="false">
      <c r="A10" s="1" t="s">
        <v>46</v>
      </c>
      <c r="B10" s="1" t="s">
        <v>47</v>
      </c>
      <c r="C10" s="1" t="s">
        <v>44</v>
      </c>
      <c r="D10" s="1" t="s">
        <v>15</v>
      </c>
      <c r="E10" s="1" t="n">
        <v>3.5E-006</v>
      </c>
      <c r="F10" s="1" t="s">
        <v>16</v>
      </c>
      <c r="G10" s="1" t="s">
        <v>17</v>
      </c>
      <c r="H10" s="1" t="s">
        <v>45</v>
      </c>
      <c r="I10" s="1" t="s">
        <v>19</v>
      </c>
      <c r="J10" s="1" t="s">
        <v>20</v>
      </c>
    </row>
    <row r="11" customFormat="false" ht="12.8" hidden="false" customHeight="false" outlineLevel="0" collapsed="false">
      <c r="A11" s="1" t="s">
        <v>48</v>
      </c>
      <c r="B11" s="1" t="s">
        <v>49</v>
      </c>
      <c r="C11" s="1" t="s">
        <v>44</v>
      </c>
      <c r="D11" s="1" t="s">
        <v>15</v>
      </c>
      <c r="E11" s="1" t="n">
        <v>1.7E-006</v>
      </c>
      <c r="F11" s="1" t="s">
        <v>16</v>
      </c>
      <c r="G11" s="1" t="s">
        <v>17</v>
      </c>
      <c r="H11" s="1" t="s">
        <v>45</v>
      </c>
      <c r="I11" s="1" t="s">
        <v>19</v>
      </c>
      <c r="J11" s="1" t="s">
        <v>20</v>
      </c>
    </row>
    <row r="12" customFormat="false" ht="12.8" hidden="false" customHeight="false" outlineLevel="0" collapsed="false">
      <c r="A12" s="1" t="s">
        <v>48</v>
      </c>
      <c r="B12" s="1" t="s">
        <v>49</v>
      </c>
      <c r="C12" s="1" t="s">
        <v>50</v>
      </c>
      <c r="D12" s="1" t="s">
        <v>15</v>
      </c>
      <c r="E12" s="1" t="n">
        <v>2.6E-006</v>
      </c>
      <c r="F12" s="1" t="s">
        <v>16</v>
      </c>
      <c r="G12" s="1" t="s">
        <v>17</v>
      </c>
      <c r="H12" s="1" t="s">
        <v>51</v>
      </c>
      <c r="I12" s="1" t="s">
        <v>52</v>
      </c>
      <c r="J12" s="1" t="s">
        <v>20</v>
      </c>
    </row>
    <row r="13" customFormat="false" ht="12.8" hidden="false" customHeight="false" outlineLevel="0" collapsed="false">
      <c r="A13" s="1" t="s">
        <v>53</v>
      </c>
      <c r="B13" s="1" t="s">
        <v>54</v>
      </c>
      <c r="C13" s="1" t="s">
        <v>44</v>
      </c>
      <c r="D13" s="1" t="s">
        <v>15</v>
      </c>
      <c r="E13" s="1" t="n">
        <v>8.7E-007</v>
      </c>
      <c r="F13" s="1" t="s">
        <v>16</v>
      </c>
      <c r="G13" s="1" t="s">
        <v>17</v>
      </c>
      <c r="H13" s="1" t="s">
        <v>45</v>
      </c>
      <c r="I13" s="1" t="s">
        <v>19</v>
      </c>
      <c r="J13" s="1" t="s">
        <v>20</v>
      </c>
    </row>
    <row r="14" customFormat="false" ht="12.8" hidden="false" customHeight="false" outlineLevel="0" collapsed="false">
      <c r="A14" s="1" t="s">
        <v>29</v>
      </c>
      <c r="B14" s="1" t="s">
        <v>55</v>
      </c>
      <c r="C14" s="1" t="s">
        <v>44</v>
      </c>
      <c r="D14" s="1" t="s">
        <v>15</v>
      </c>
      <c r="E14" s="1" t="n">
        <v>7.2E-007</v>
      </c>
      <c r="F14" s="1" t="s">
        <v>16</v>
      </c>
      <c r="G14" s="1" t="s">
        <v>17</v>
      </c>
      <c r="H14" s="1" t="s">
        <v>45</v>
      </c>
      <c r="I14" s="1" t="s">
        <v>19</v>
      </c>
      <c r="J14" s="1" t="s">
        <v>20</v>
      </c>
    </row>
    <row r="15" customFormat="false" ht="12.8" hidden="false" customHeight="false" outlineLevel="0" collapsed="false">
      <c r="A15" s="1" t="s">
        <v>29</v>
      </c>
      <c r="B15" s="1" t="s">
        <v>55</v>
      </c>
      <c r="C15" s="1" t="s">
        <v>56</v>
      </c>
      <c r="D15" s="1" t="s">
        <v>15</v>
      </c>
      <c r="E15" s="1" t="s">
        <v>57</v>
      </c>
      <c r="F15" s="1" t="s">
        <v>58</v>
      </c>
      <c r="G15" s="1" t="s">
        <v>17</v>
      </c>
      <c r="H15" s="1" t="s">
        <v>59</v>
      </c>
      <c r="I15" s="1" t="s">
        <v>60</v>
      </c>
      <c r="J15" s="1" t="s">
        <v>20</v>
      </c>
    </row>
    <row r="16" customFormat="false" ht="12.8" hidden="false" customHeight="false" outlineLevel="0" collapsed="false">
      <c r="A16" s="1" t="s">
        <v>61</v>
      </c>
      <c r="B16" s="1" t="s">
        <v>62</v>
      </c>
      <c r="C16" s="1" t="s">
        <v>40</v>
      </c>
      <c r="D16" s="1" t="s">
        <v>15</v>
      </c>
      <c r="E16" s="1" t="n">
        <v>2.2E-006</v>
      </c>
      <c r="F16" s="1" t="s">
        <v>16</v>
      </c>
      <c r="G16" s="1" t="s">
        <v>17</v>
      </c>
      <c r="H16" s="1" t="s">
        <v>51</v>
      </c>
      <c r="I16" s="1" t="s">
        <v>63</v>
      </c>
      <c r="J16" s="1" t="s">
        <v>20</v>
      </c>
    </row>
    <row r="17" customFormat="false" ht="12.8" hidden="false" customHeight="false" outlineLevel="0" collapsed="false">
      <c r="A17" s="1" t="s">
        <v>64</v>
      </c>
      <c r="B17" s="1" t="s">
        <v>65</v>
      </c>
      <c r="C17" s="1" t="s">
        <v>66</v>
      </c>
      <c r="D17" s="1" t="s">
        <v>15</v>
      </c>
      <c r="E17" s="1" t="n">
        <v>9.28E-007</v>
      </c>
      <c r="F17" s="1" t="s">
        <v>16</v>
      </c>
      <c r="G17" s="1" t="s">
        <v>17</v>
      </c>
      <c r="H17" s="1" t="s">
        <v>27</v>
      </c>
      <c r="I17" s="1" t="s">
        <v>67</v>
      </c>
      <c r="J17" s="1" t="s">
        <v>20</v>
      </c>
    </row>
    <row r="18" customFormat="false" ht="12.8" hidden="false" customHeight="false" outlineLevel="0" collapsed="false">
      <c r="A18" s="1" t="s">
        <v>64</v>
      </c>
      <c r="B18" s="1" t="s">
        <v>65</v>
      </c>
      <c r="C18" s="1" t="s">
        <v>68</v>
      </c>
      <c r="D18" s="1" t="s">
        <v>15</v>
      </c>
      <c r="E18" s="1" t="n">
        <v>3.71E-006</v>
      </c>
      <c r="F18" s="1" t="s">
        <v>16</v>
      </c>
      <c r="G18" s="1" t="s">
        <v>17</v>
      </c>
      <c r="H18" s="1" t="s">
        <v>27</v>
      </c>
      <c r="I18" s="1" t="s">
        <v>67</v>
      </c>
      <c r="J18" s="1" t="s">
        <v>20</v>
      </c>
    </row>
    <row r="19" customFormat="false" ht="12.8" hidden="false" customHeight="false" outlineLevel="0" collapsed="false">
      <c r="A19" s="1" t="s">
        <v>64</v>
      </c>
      <c r="B19" s="1" t="s">
        <v>65</v>
      </c>
      <c r="C19" s="1" t="s">
        <v>66</v>
      </c>
      <c r="D19" s="1" t="s">
        <v>15</v>
      </c>
      <c r="E19" s="1" t="s">
        <v>69</v>
      </c>
      <c r="F19" s="1" t="s">
        <v>16</v>
      </c>
      <c r="G19" s="1" t="s">
        <v>17</v>
      </c>
      <c r="H19" s="1" t="s">
        <v>70</v>
      </c>
      <c r="I19" s="1" t="s">
        <v>67</v>
      </c>
      <c r="J19" s="1" t="s">
        <v>20</v>
      </c>
    </row>
    <row r="20" customFormat="false" ht="12.8" hidden="false" customHeight="false" outlineLevel="0" collapsed="false">
      <c r="A20" s="1" t="s">
        <v>64</v>
      </c>
      <c r="B20" s="1" t="s">
        <v>65</v>
      </c>
      <c r="C20" s="1" t="s">
        <v>68</v>
      </c>
      <c r="D20" s="1" t="s">
        <v>15</v>
      </c>
      <c r="E20" s="1" t="s">
        <v>71</v>
      </c>
      <c r="F20" s="1" t="s">
        <v>16</v>
      </c>
      <c r="G20" s="1" t="s">
        <v>17</v>
      </c>
      <c r="H20" s="1" t="s">
        <v>70</v>
      </c>
      <c r="I20" s="1" t="s">
        <v>67</v>
      </c>
      <c r="J20" s="1" t="s">
        <v>20</v>
      </c>
    </row>
    <row r="21" customFormat="false" ht="12.8" hidden="false" customHeight="false" outlineLevel="0" collapsed="false">
      <c r="A21" s="1" t="s">
        <v>64</v>
      </c>
      <c r="B21" s="1" t="s">
        <v>65</v>
      </c>
      <c r="C21" s="1" t="s">
        <v>72</v>
      </c>
      <c r="D21" s="1" t="s">
        <v>15</v>
      </c>
      <c r="E21" s="1" t="s">
        <v>73</v>
      </c>
      <c r="F21" s="1" t="s">
        <v>16</v>
      </c>
      <c r="G21" s="1" t="s">
        <v>17</v>
      </c>
      <c r="H21" s="1" t="s">
        <v>70</v>
      </c>
      <c r="I21" s="1" t="s">
        <v>67</v>
      </c>
      <c r="J21" s="1" t="s">
        <v>20</v>
      </c>
    </row>
    <row r="22" customFormat="false" ht="12.8" hidden="false" customHeight="false" outlineLevel="0" collapsed="false">
      <c r="A22" s="1" t="s">
        <v>74</v>
      </c>
      <c r="B22" s="1" t="s">
        <v>75</v>
      </c>
      <c r="C22" s="1" t="s">
        <v>76</v>
      </c>
      <c r="D22" s="1" t="s">
        <v>15</v>
      </c>
      <c r="E22" s="1" t="s">
        <v>77</v>
      </c>
      <c r="F22" s="1" t="s">
        <v>58</v>
      </c>
      <c r="G22" s="1" t="s">
        <v>17</v>
      </c>
      <c r="H22" s="1" t="s">
        <v>51</v>
      </c>
      <c r="I22" s="1" t="s">
        <v>34</v>
      </c>
      <c r="J22" s="1" t="s">
        <v>20</v>
      </c>
    </row>
    <row r="23" customFormat="false" ht="12.8" hidden="false" customHeight="false" outlineLevel="0" collapsed="false">
      <c r="A23" s="1" t="s">
        <v>74</v>
      </c>
      <c r="B23" s="1" t="s">
        <v>75</v>
      </c>
      <c r="C23" s="1" t="s">
        <v>76</v>
      </c>
      <c r="D23" s="1" t="s">
        <v>15</v>
      </c>
      <c r="E23" s="1" t="s">
        <v>78</v>
      </c>
      <c r="F23" s="1" t="s">
        <v>58</v>
      </c>
      <c r="G23" s="1" t="s">
        <v>17</v>
      </c>
      <c r="H23" s="1" t="s">
        <v>51</v>
      </c>
      <c r="I23" s="1" t="s">
        <v>34</v>
      </c>
      <c r="J23" s="1" t="s">
        <v>20</v>
      </c>
    </row>
    <row r="24" customFormat="false" ht="12.8" hidden="false" customHeight="false" outlineLevel="0" collapsed="false">
      <c r="A24" s="1" t="s">
        <v>79</v>
      </c>
      <c r="B24" s="1" t="s">
        <v>80</v>
      </c>
      <c r="C24" s="1" t="s">
        <v>81</v>
      </c>
      <c r="D24" s="1" t="s">
        <v>15</v>
      </c>
      <c r="E24" s="1" t="s">
        <v>82</v>
      </c>
      <c r="F24" s="1" t="s">
        <v>16</v>
      </c>
      <c r="G24" s="1" t="s">
        <v>17</v>
      </c>
      <c r="H24" s="1" t="s">
        <v>70</v>
      </c>
      <c r="I24" s="1" t="s">
        <v>83</v>
      </c>
      <c r="J24" s="1" t="s">
        <v>20</v>
      </c>
    </row>
    <row r="25" customFormat="false" ht="12.8" hidden="false" customHeight="false" outlineLevel="0" collapsed="false">
      <c r="A25" s="1" t="s">
        <v>84</v>
      </c>
      <c r="B25" s="1" t="s">
        <v>85</v>
      </c>
      <c r="C25" s="1" t="s">
        <v>86</v>
      </c>
      <c r="D25" s="1" t="s">
        <v>15</v>
      </c>
      <c r="E25" s="1" t="s">
        <v>87</v>
      </c>
      <c r="F25" s="1" t="s">
        <v>58</v>
      </c>
      <c r="G25" s="1" t="s">
        <v>17</v>
      </c>
      <c r="H25" s="1" t="s">
        <v>88</v>
      </c>
      <c r="I25" s="1" t="s">
        <v>89</v>
      </c>
      <c r="J25" s="1" t="s">
        <v>20</v>
      </c>
    </row>
    <row r="26" customFormat="false" ht="12.8" hidden="false" customHeight="false" outlineLevel="0" collapsed="false">
      <c r="A26" s="1" t="s">
        <v>90</v>
      </c>
      <c r="B26" s="1" t="s">
        <v>91</v>
      </c>
      <c r="C26" s="1" t="s">
        <v>86</v>
      </c>
      <c r="D26" s="1" t="s">
        <v>15</v>
      </c>
      <c r="E26" s="1" t="s">
        <v>92</v>
      </c>
      <c r="F26" s="1" t="s">
        <v>58</v>
      </c>
      <c r="G26" s="1" t="s">
        <v>17</v>
      </c>
      <c r="H26" s="1" t="s">
        <v>88</v>
      </c>
      <c r="I26" s="1" t="s">
        <v>89</v>
      </c>
      <c r="J26" s="1" t="s">
        <v>20</v>
      </c>
    </row>
    <row r="27" customFormat="false" ht="12.8" hidden="false" customHeight="false" outlineLevel="0" collapsed="false">
      <c r="A27" s="1" t="s">
        <v>93</v>
      </c>
      <c r="B27" s="1" t="s">
        <v>94</v>
      </c>
      <c r="C27" s="1" t="s">
        <v>86</v>
      </c>
      <c r="D27" s="1" t="s">
        <v>15</v>
      </c>
      <c r="E27" s="1" t="s">
        <v>95</v>
      </c>
      <c r="F27" s="1" t="s">
        <v>58</v>
      </c>
      <c r="G27" s="1" t="s">
        <v>17</v>
      </c>
      <c r="H27" s="1" t="s">
        <v>88</v>
      </c>
      <c r="I27" s="1" t="s">
        <v>89</v>
      </c>
      <c r="J27" s="1" t="s">
        <v>20</v>
      </c>
    </row>
    <row r="28" customFormat="false" ht="12.8" hidden="false" customHeight="false" outlineLevel="0" collapsed="false">
      <c r="A28" s="1" t="s">
        <v>96</v>
      </c>
      <c r="B28" s="1" t="s">
        <v>97</v>
      </c>
      <c r="C28" s="1" t="s">
        <v>86</v>
      </c>
      <c r="D28" s="1" t="s">
        <v>15</v>
      </c>
      <c r="E28" s="1" t="s">
        <v>98</v>
      </c>
      <c r="F28" s="1" t="s">
        <v>58</v>
      </c>
      <c r="G28" s="1" t="s">
        <v>17</v>
      </c>
      <c r="H28" s="1" t="s">
        <v>88</v>
      </c>
      <c r="I28" s="1" t="s">
        <v>89</v>
      </c>
      <c r="J28" s="1" t="s">
        <v>20</v>
      </c>
    </row>
    <row r="29" customFormat="false" ht="12.8" hidden="false" customHeight="false" outlineLevel="0" collapsed="false">
      <c r="A29" s="1" t="str">
        <f aca="false">"CN(CCCn1c(nc2c1c1CC(COc1cc2)CN(C)C)N(C)C)C"</f>
        <v>CN(CCCn1c(nc2c1c1CC(COc1cc2)CN(C)C)N(C)C)C</v>
      </c>
      <c r="B29" s="1" t="s">
        <v>99</v>
      </c>
      <c r="C29" s="1" t="s">
        <v>86</v>
      </c>
      <c r="D29" s="1" t="s">
        <v>15</v>
      </c>
      <c r="E29" s="1" t="s">
        <v>100</v>
      </c>
      <c r="F29" s="1" t="s">
        <v>58</v>
      </c>
      <c r="G29" s="1" t="s">
        <v>101</v>
      </c>
      <c r="H29" s="1" t="s">
        <v>59</v>
      </c>
      <c r="I29" s="1" t="s">
        <v>102</v>
      </c>
      <c r="J29" s="1" t="s">
        <v>103</v>
      </c>
    </row>
    <row r="30" customFormat="false" ht="12.8" hidden="false" customHeight="false" outlineLevel="0" collapsed="false">
      <c r="A30" s="1" t="str">
        <f aca="false">"CN(c1ccc2c(c1)nc1c(n2)cc(c(c1)N)C)C"</f>
        <v>CN(c1ccc2c(c1)nc1c(n2)cc(c(c1)N)C)C</v>
      </c>
      <c r="B30" s="1" t="s">
        <v>104</v>
      </c>
      <c r="C30" s="1" t="s">
        <v>40</v>
      </c>
      <c r="D30" s="1" t="s">
        <v>15</v>
      </c>
      <c r="E30" s="1" t="s">
        <v>15</v>
      </c>
      <c r="F30" s="1" t="s">
        <v>15</v>
      </c>
      <c r="G30" s="1" t="s">
        <v>15</v>
      </c>
      <c r="H30" s="1" t="s">
        <v>15</v>
      </c>
      <c r="I30" s="1" t="s">
        <v>105</v>
      </c>
      <c r="J30" s="1" t="s">
        <v>103</v>
      </c>
    </row>
    <row r="31" customFormat="false" ht="12.8" hidden="false" customHeight="false" outlineLevel="0" collapsed="false">
      <c r="A31" s="1" t="str">
        <f aca="false">"N=C(Nc1nc(C)cc(n1)C)NCCc1ccccc1"</f>
        <v>N=C(Nc1nc(C)cc(n1)C)NCCc1ccccc1</v>
      </c>
      <c r="B31" s="1" t="s">
        <v>106</v>
      </c>
      <c r="C31" s="1" t="s">
        <v>40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105</v>
      </c>
      <c r="J31" s="1" t="s">
        <v>103</v>
      </c>
    </row>
    <row r="32" customFormat="false" ht="12.8" hidden="false" customHeight="false" outlineLevel="0" collapsed="false">
      <c r="A32" s="1" t="str">
        <f aca="false">"NCCCC[C@@H](C(=O)N1C[C@H](N)C[C@@H](C1)N)NC(=O)c1ccc(cc1)C(=O)C"</f>
        <v>NCCCC[C@@H](C(=O)N1C[C@H](N)C[C@@H](C1)N)NC(=O)c1ccc(cc1)C(=O)C</v>
      </c>
      <c r="B32" s="1" t="s">
        <v>107</v>
      </c>
      <c r="C32" s="1" t="s">
        <v>40</v>
      </c>
      <c r="D32" s="1" t="s">
        <v>15</v>
      </c>
      <c r="E32" s="1" t="n">
        <v>6.3</v>
      </c>
      <c r="F32" s="1" t="s">
        <v>58</v>
      </c>
      <c r="G32" s="1" t="s">
        <v>101</v>
      </c>
      <c r="H32" s="1" t="s">
        <v>59</v>
      </c>
      <c r="I32" s="1" t="s">
        <v>105</v>
      </c>
      <c r="J32" s="1" t="s">
        <v>103</v>
      </c>
    </row>
    <row r="33" customFormat="false" ht="12.8" hidden="false" customHeight="false" outlineLevel="0" collapsed="false">
      <c r="A33" s="1" t="str">
        <f aca="false">"CN(CCCNc1nc2c(o1)cc(cc2)N)C"</f>
        <v>CN(CCCNc1nc2c(o1)cc(cc2)N)C</v>
      </c>
      <c r="B33" s="1" t="s">
        <v>108</v>
      </c>
      <c r="C33" s="1" t="s">
        <v>86</v>
      </c>
      <c r="D33" s="1" t="s">
        <v>15</v>
      </c>
      <c r="E33" s="1" t="n">
        <v>100</v>
      </c>
      <c r="F33" s="1" t="s">
        <v>58</v>
      </c>
      <c r="G33" s="1" t="s">
        <v>101</v>
      </c>
      <c r="H33" s="1" t="s">
        <v>59</v>
      </c>
      <c r="I33" s="1" t="s">
        <v>105</v>
      </c>
      <c r="J33" s="1" t="s">
        <v>103</v>
      </c>
    </row>
    <row r="34" customFormat="false" ht="12.8" hidden="false" customHeight="false" outlineLevel="0" collapsed="false">
      <c r="A34" s="1" t="str">
        <f aca="false">"O=C(Nc1cc(ccc1C(=O)Nc1ccc(cc1)C1=NCCN1)C(=O)Nc1ccc(cc1)C1=NCCN1)Nc1cccc(c1)NC(=O)Nc1cc(ccc1C(=O)Nc1ccc(cc1)C1=NCCN1)C(=O)Nc1ccc(cc1)C1=NCCN1"</f>
        <v>O=C(Nc1cc(ccc1C(=O)Nc1ccc(cc1)C1=NCCN1)C(=O)Nc1ccc(cc1)C1=NCCN1)Nc1cccc(c1)NC(=O)Nc1cc(ccc1C(=O)Nc1ccc(cc1)C1=NCCN1)C(=O)Nc1ccc(cc1)C1=NCCN1</v>
      </c>
      <c r="B34" s="1" t="s">
        <v>109</v>
      </c>
      <c r="C34" s="1" t="s">
        <v>110</v>
      </c>
      <c r="D34" s="1" t="s">
        <v>15</v>
      </c>
      <c r="E34" s="1" t="s">
        <v>111</v>
      </c>
      <c r="F34" s="1" t="s">
        <v>16</v>
      </c>
      <c r="G34" s="1" t="s">
        <v>112</v>
      </c>
      <c r="H34" s="1" t="s">
        <v>113</v>
      </c>
      <c r="I34" s="1" t="s">
        <v>114</v>
      </c>
      <c r="J34" s="1" t="s">
        <v>103</v>
      </c>
    </row>
    <row r="35" customFormat="false" ht="12.8" hidden="false" customHeight="false" outlineLevel="0" collapsed="false">
      <c r="A35" s="1" t="str">
        <f aca="false">"O=C(c1cc(cc(c1)C(=O)Nc1ccc(cc1)C1=NCCN1)C(=O)Nc1ccc(cc1)C1=NCCN1)Nc1ccc(cc1)C1=NCCN1"</f>
        <v>O=C(c1cc(cc(c1)C(=O)Nc1ccc(cc1)C1=NCCN1)C(=O)Nc1ccc(cc1)C1=NCCN1)Nc1ccc(cc1)C1=NCCN1</v>
      </c>
      <c r="B35" s="1" t="s">
        <v>115</v>
      </c>
      <c r="C35" s="1" t="s">
        <v>110</v>
      </c>
      <c r="D35" s="1" t="s">
        <v>15</v>
      </c>
      <c r="E35" s="1" t="s">
        <v>116</v>
      </c>
      <c r="F35" s="1" t="s">
        <v>16</v>
      </c>
      <c r="G35" s="1" t="s">
        <v>112</v>
      </c>
      <c r="H35" s="1" t="s">
        <v>113</v>
      </c>
      <c r="I35" s="1" t="s">
        <v>114</v>
      </c>
      <c r="J35" s="1" t="s">
        <v>103</v>
      </c>
    </row>
    <row r="36" customFormat="false" ht="12.8" hidden="false" customHeight="false" outlineLevel="0" collapsed="false">
      <c r="A36" s="1" t="str">
        <f aca="false">"O=C(c1ccc(cc1)C(=O)Nc1cc(cc(c1)C1=NCCN1)C1=NCCN1)Nc1cc(cc(c1)C1=NCCN1)C1=NCCN1"</f>
        <v>O=C(c1ccc(cc1)C(=O)Nc1cc(cc(c1)C1=NCCN1)C1=NCCN1)Nc1cc(cc(c1)C1=NCCN1)C1=NCCN1</v>
      </c>
      <c r="B36" s="1" t="s">
        <v>117</v>
      </c>
      <c r="C36" s="1" t="s">
        <v>110</v>
      </c>
      <c r="D36" s="1" t="s">
        <v>15</v>
      </c>
      <c r="E36" s="1" t="s">
        <v>118</v>
      </c>
      <c r="F36" s="1" t="s">
        <v>16</v>
      </c>
      <c r="G36" s="1" t="s">
        <v>112</v>
      </c>
      <c r="H36" s="1" t="s">
        <v>113</v>
      </c>
      <c r="I36" s="1" t="s">
        <v>114</v>
      </c>
      <c r="J36" s="1" t="s">
        <v>103</v>
      </c>
    </row>
    <row r="37" customFormat="false" ht="12.8" hidden="false" customHeight="false" outlineLevel="0" collapsed="false">
      <c r="A37" s="1" t="str">
        <f aca="false">"O=C(c1ccc(cc1)c1ccc(cc1)C(=O)Nc1cccc(c1)C1=NCCN1)Nc1cccc(c1)C1=NCCN1"</f>
        <v>O=C(c1ccc(cc1)c1ccc(cc1)C(=O)Nc1cccc(c1)C1=NCCN1)Nc1cccc(c1)C1=NCCN1</v>
      </c>
      <c r="B37" s="1" t="s">
        <v>119</v>
      </c>
      <c r="C37" s="1" t="s">
        <v>110</v>
      </c>
      <c r="D37" s="1" t="s">
        <v>15</v>
      </c>
      <c r="E37" s="1" t="s">
        <v>120</v>
      </c>
      <c r="F37" s="1" t="s">
        <v>16</v>
      </c>
      <c r="G37" s="1" t="s">
        <v>112</v>
      </c>
      <c r="H37" s="1" t="s">
        <v>113</v>
      </c>
      <c r="I37" s="1" t="s">
        <v>114</v>
      </c>
      <c r="J37" s="1" t="s">
        <v>103</v>
      </c>
    </row>
    <row r="38" customFormat="false" ht="12.8" hidden="false" customHeight="false" outlineLevel="0" collapsed="false">
      <c r="A38" s="1" t="str">
        <f aca="false">"O=C(Nc1cc(ccc1C(=O)Nc1ccc(cc1)C1=NCCN1)C(=O)Nc1ccc(cc1)C1=NCCN1)Nc1cccc(c1)NC(=O)Nc1cc(ccc1C(=O)Nc1ccc(cc1)C1=NCCN1)C(=O)Nc1ccc(cc1)C1=NCCN1"</f>
        <v>O=C(Nc1cc(ccc1C(=O)Nc1ccc(cc1)C1=NCCN1)C(=O)Nc1ccc(cc1)C1=NCCN1)Nc1cccc(c1)NC(=O)Nc1cc(ccc1C(=O)Nc1ccc(cc1)C1=NCCN1)C(=O)Nc1ccc(cc1)C1=NCCN1</v>
      </c>
      <c r="B38" s="1" t="s">
        <v>109</v>
      </c>
      <c r="C38" s="1" t="s">
        <v>121</v>
      </c>
      <c r="D38" s="1" t="s">
        <v>15</v>
      </c>
      <c r="E38" s="1" t="s">
        <v>122</v>
      </c>
      <c r="F38" s="1" t="s">
        <v>16</v>
      </c>
      <c r="G38" s="1" t="s">
        <v>112</v>
      </c>
      <c r="H38" s="1" t="s">
        <v>113</v>
      </c>
      <c r="I38" s="1" t="s">
        <v>114</v>
      </c>
      <c r="J38" s="1" t="s">
        <v>103</v>
      </c>
    </row>
    <row r="39" customFormat="false" ht="12.8" hidden="false" customHeight="false" outlineLevel="0" collapsed="false">
      <c r="A39" s="1" t="str">
        <f aca="false">"O=C(c1cc(cc(c1)C(=O)Nc1ccc(cc1)C1=NCCN1)C(=O)Nc1ccc(cc1)C1=NCCN1)Nc1ccc(cc1)C1=NCCN1"</f>
        <v>O=C(c1cc(cc(c1)C(=O)Nc1ccc(cc1)C1=NCCN1)C(=O)Nc1ccc(cc1)C1=NCCN1)Nc1ccc(cc1)C1=NCCN1</v>
      </c>
      <c r="B39" s="1" t="s">
        <v>115</v>
      </c>
      <c r="C39" s="1" t="s">
        <v>121</v>
      </c>
      <c r="D39" s="1" t="s">
        <v>15</v>
      </c>
      <c r="E39" s="1" t="s">
        <v>123</v>
      </c>
      <c r="F39" s="1" t="s">
        <v>16</v>
      </c>
      <c r="G39" s="1" t="s">
        <v>112</v>
      </c>
      <c r="H39" s="1" t="s">
        <v>113</v>
      </c>
      <c r="I39" s="1" t="s">
        <v>114</v>
      </c>
      <c r="J39" s="1" t="s">
        <v>103</v>
      </c>
    </row>
    <row r="40" customFormat="false" ht="12.8" hidden="false" customHeight="false" outlineLevel="0" collapsed="false">
      <c r="A40" s="1" t="str">
        <f aca="false">"O=C(c1ccc(cc1)c1ccc(cc1)C(=O)Nc1cccc(c1)C1=NCCN1)Nc1cccc(c1)C1=NCCN1"</f>
        <v>O=C(c1ccc(cc1)c1ccc(cc1)C(=O)Nc1cccc(c1)C1=NCCN1)Nc1cccc(c1)C1=NCCN1</v>
      </c>
      <c r="B40" s="1" t="s">
        <v>119</v>
      </c>
      <c r="C40" s="1" t="s">
        <v>121</v>
      </c>
      <c r="D40" s="1" t="s">
        <v>15</v>
      </c>
      <c r="E40" s="1" t="s">
        <v>124</v>
      </c>
      <c r="F40" s="1" t="s">
        <v>16</v>
      </c>
      <c r="G40" s="1" t="s">
        <v>112</v>
      </c>
      <c r="H40" s="1" t="s">
        <v>113</v>
      </c>
      <c r="I40" s="1" t="s">
        <v>114</v>
      </c>
      <c r="J40" s="1" t="s">
        <v>103</v>
      </c>
    </row>
    <row r="41" customFormat="false" ht="12.8" hidden="false" customHeight="false" outlineLevel="0" collapsed="false">
      <c r="A41" s="1" t="str">
        <f aca="false">"CCOc1ccc2c(c1)nc(nc2C)NC(=N)NC"</f>
        <v>CCOc1ccc2c(c1)nc(nc2C)NC(=N)NC</v>
      </c>
      <c r="B41" s="1" t="s">
        <v>125</v>
      </c>
      <c r="C41" s="1" t="s">
        <v>40</v>
      </c>
      <c r="D41" s="1" t="s">
        <v>15</v>
      </c>
      <c r="E41" s="1" t="s">
        <v>126</v>
      </c>
      <c r="F41" s="1" t="s">
        <v>58</v>
      </c>
      <c r="G41" s="1" t="s">
        <v>101</v>
      </c>
      <c r="H41" s="1" t="s">
        <v>59</v>
      </c>
      <c r="I41" s="1" t="s">
        <v>127</v>
      </c>
      <c r="J41" s="1" t="s">
        <v>103</v>
      </c>
    </row>
    <row r="42" customFormat="false" ht="12.8" hidden="false" customHeight="false" outlineLevel="0" collapsed="false">
      <c r="A42" s="1" t="str">
        <f aca="false">"CCOc1ccc2c(c1)nc(nc2C)NC(=N)N"</f>
        <v>CCOc1ccc2c(c1)nc(nc2C)NC(=N)N</v>
      </c>
      <c r="B42" s="1" t="s">
        <v>128</v>
      </c>
      <c r="C42" s="1" t="s">
        <v>40</v>
      </c>
      <c r="D42" s="1" t="s">
        <v>15</v>
      </c>
      <c r="E42" s="1" t="s">
        <v>129</v>
      </c>
      <c r="F42" s="1" t="s">
        <v>58</v>
      </c>
      <c r="G42" s="1" t="s">
        <v>101</v>
      </c>
      <c r="H42" s="1" t="s">
        <v>59</v>
      </c>
      <c r="I42" s="1" t="s">
        <v>127</v>
      </c>
      <c r="J42" s="1" t="s">
        <v>103</v>
      </c>
    </row>
    <row r="43" customFormat="false" ht="12.8" hidden="false" customHeight="false" outlineLevel="0" collapsed="false">
      <c r="A43" s="1" t="str">
        <f aca="false">"CNC(=N)Nc1nc2cc(OC)ccc2c(n1)C"</f>
        <v>CNC(=N)Nc1nc2cc(OC)ccc2c(n1)C</v>
      </c>
      <c r="B43" s="1" t="s">
        <v>130</v>
      </c>
      <c r="C43" s="1" t="s">
        <v>40</v>
      </c>
      <c r="D43" s="1" t="s">
        <v>15</v>
      </c>
      <c r="E43" s="1" t="s">
        <v>131</v>
      </c>
      <c r="F43" s="1" t="s">
        <v>58</v>
      </c>
      <c r="G43" s="1" t="s">
        <v>101</v>
      </c>
      <c r="H43" s="1" t="s">
        <v>59</v>
      </c>
      <c r="I43" s="1" t="s">
        <v>127</v>
      </c>
      <c r="J43" s="1" t="s">
        <v>103</v>
      </c>
    </row>
    <row r="44" customFormat="false" ht="12.8" hidden="false" customHeight="false" outlineLevel="0" collapsed="false">
      <c r="A44" s="1" t="str">
        <f aca="false">"COc1ccc2c(c1)nc(nc2C)NC(=N)N"</f>
        <v>COc1ccc2c(c1)nc(nc2C)NC(=N)N</v>
      </c>
      <c r="B44" s="1" t="s">
        <v>132</v>
      </c>
      <c r="C44" s="1" t="s">
        <v>40</v>
      </c>
      <c r="D44" s="1" t="s">
        <v>15</v>
      </c>
      <c r="E44" s="1" t="s">
        <v>133</v>
      </c>
      <c r="F44" s="1" t="s">
        <v>58</v>
      </c>
      <c r="G44" s="1" t="s">
        <v>101</v>
      </c>
      <c r="H44" s="1" t="s">
        <v>59</v>
      </c>
      <c r="I44" s="1" t="s">
        <v>127</v>
      </c>
      <c r="J44" s="1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2025-04-02T12:26:03Z</dcterms:created>
  <dc:creator>Sowmya</dc:creator>
  <dc:description/>
  <dc:language>en-IN</dc:language>
  <cp:lastModifiedBy>Sowmya</cp:lastModifiedBy>
  <dcterms:modified xsi:type="dcterms:W3CDTF">2026-08-18T15:13:13Z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